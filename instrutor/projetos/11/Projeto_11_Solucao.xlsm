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240" yWindow="75" windowWidth="20115" windowHeight="7995" activeTab="3"/>
  </bookViews>
  <sheets>
    <sheet name="Despesas - 2017" sheetId="1" r:id="rId1"/>
    <sheet name="Despesas - 2016" sheetId="2" r:id="rId2"/>
    <sheet name="Despesas - 2015" sheetId="3" r:id="rId3"/>
    <sheet name="Relatorio Final" sheetId="4" r:id="rId4"/>
  </sheets>
  <calcPr calcId="145621"/>
</workbook>
</file>

<file path=xl/calcChain.xml><?xml version="1.0" encoding="utf-8"?>
<calcChain xmlns="http://schemas.openxmlformats.org/spreadsheetml/2006/main">
  <c r="F71" i="4" l="1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23" i="3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3" i="2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25" i="4" s="1"/>
  <c r="F23" i="1"/>
  <c r="F22" i="3" l="1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5" i="1" l="1"/>
  <c r="F11" i="1"/>
  <c r="F15" i="1"/>
  <c r="F17" i="1"/>
  <c r="F21" i="1"/>
  <c r="F3" i="1"/>
  <c r="F13" i="1" l="1"/>
  <c r="F19" i="1"/>
  <c r="F7" i="1"/>
  <c r="F16" i="2"/>
  <c r="F4" i="2"/>
  <c r="F8" i="2"/>
  <c r="F12" i="2"/>
  <c r="F5" i="2"/>
  <c r="F9" i="2"/>
  <c r="F13" i="2"/>
  <c r="F17" i="2"/>
  <c r="F21" i="2"/>
  <c r="F20" i="2"/>
  <c r="F11" i="2"/>
  <c r="F15" i="2"/>
  <c r="F19" i="2"/>
  <c r="F3" i="2"/>
  <c r="F7" i="2"/>
  <c r="F6" i="2"/>
  <c r="F10" i="2"/>
  <c r="F14" i="2"/>
  <c r="F18" i="2"/>
  <c r="F22" i="2"/>
  <c r="F9" i="1"/>
  <c r="F18" i="1"/>
  <c r="F14" i="1"/>
  <c r="F10" i="1"/>
  <c r="F6" i="1"/>
  <c r="F4" i="1"/>
  <c r="F8" i="1"/>
  <c r="F12" i="1"/>
  <c r="F16" i="1"/>
  <c r="F20" i="1"/>
</calcChain>
</file>

<file path=xl/sharedStrings.xml><?xml version="1.0" encoding="utf-8"?>
<sst xmlns="http://schemas.openxmlformats.org/spreadsheetml/2006/main" count="282" uniqueCount="17">
  <si>
    <t>Sudeste</t>
  </si>
  <si>
    <t>Nordeste</t>
  </si>
  <si>
    <t>Sul</t>
  </si>
  <si>
    <t>Norte</t>
  </si>
  <si>
    <t>Centro</t>
  </si>
  <si>
    <t>Marketing</t>
  </si>
  <si>
    <t>Logística</t>
  </si>
  <si>
    <t>Financeiro</t>
  </si>
  <si>
    <t>Produção</t>
  </si>
  <si>
    <t>Manutenção</t>
  </si>
  <si>
    <t>Relatório de Despesas</t>
  </si>
  <si>
    <t>Região</t>
  </si>
  <si>
    <t>Departamento</t>
  </si>
  <si>
    <t>Jan</t>
  </si>
  <si>
    <t>Fev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</si>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</sst>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450666829432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1" xfId="0" applyBorder="1"/>
    <xf numFmtId="2" fontId="0" fillId="0" borderId="1" xfId="0" applyNumberFormat="1" applyBorder="1"/>
    <xf numFmtId="0" fontId="3" fillId="3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47625</xdr:colOff>
          <xdr:row>5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I23"/>
  <sheetViews>
    <sheetView workbookViewId="0">
      <selection activeCell="I14" sqref="I14"/>
    </sheetView>
  </sheetViews>
  <sheetFormatPr defaultRowHeight="15" x14ac:dyDescent="0.25"/>
  <cols>
    <col min="2" max="2" width="14" bestFit="1" customWidth="1"/>
  </cols>
  <sheetData>
    <row r="1" spans="1:9" x14ac:dyDescent="0.25">
      <c r="A1" s="5" t="s">
        <v>10</v>
      </c>
      <c r="B1" s="6"/>
      <c r="C1" s="6"/>
      <c r="D1" s="6"/>
      <c r="E1" s="6"/>
      <c r="F1" s="7"/>
    </row>
    <row r="2" spans="1:9" x14ac:dyDescent="0.25">
      <c r="A2" s="4" t="s">
        <v>11</v>
      </c>
      <c r="B2" s="4" t="s">
        <v>12</v>
      </c>
      <c r="C2" s="4" t="s">
        <v>13</v>
      </c>
      <c r="D2" s="4" t="s">
        <v>14</v>
      </c>
      <c r="E2" s="4" t="s">
        <v>15</v>
      </c>
      <c r="F2" s="4" t="s">
        <v>16</v>
      </c>
    </row>
    <row r="3" spans="1:9" x14ac:dyDescent="0.25">
      <c r="A3" s="2" t="s">
        <v>0</v>
      </c>
      <c r="B3" s="2" t="s">
        <v>5</v>
      </c>
      <c r="C3" s="3">
        <v>3332</v>
      </c>
      <c r="D3" s="3">
        <v>2239</v>
      </c>
      <c r="E3" s="3">
        <v>1062</v>
      </c>
      <c r="F3" s="3">
        <f>SUM(C3:E3)</f>
        <v>6633</v>
      </c>
    </row>
    <row r="4" spans="1:9" x14ac:dyDescent="0.25">
      <c r="A4" s="2" t="s">
        <v>1</v>
      </c>
      <c r="B4" s="2" t="s">
        <v>6</v>
      </c>
      <c r="C4" s="3">
        <v>1073</v>
      </c>
      <c r="D4" s="3">
        <v>3305</v>
      </c>
      <c r="E4" s="3">
        <v>1039</v>
      </c>
      <c r="F4" s="3">
        <f t="shared" ref="F4:F21" si="0">SUM(C4:E4)</f>
        <v>5417</v>
      </c>
    </row>
    <row r="5" spans="1:9" x14ac:dyDescent="0.25">
      <c r="A5" s="2" t="s">
        <v>2</v>
      </c>
      <c r="B5" s="2" t="s">
        <v>7</v>
      </c>
      <c r="C5" s="3">
        <v>3276</v>
      </c>
      <c r="D5" s="3">
        <v>2610</v>
      </c>
      <c r="E5" s="3">
        <v>3894</v>
      </c>
      <c r="F5" s="3">
        <f t="shared" si="0"/>
        <v>9780</v>
      </c>
    </row>
    <row r="6" spans="1:9" x14ac:dyDescent="0.25">
      <c r="A6" s="2" t="s">
        <v>3</v>
      </c>
      <c r="B6" s="2" t="s">
        <v>8</v>
      </c>
      <c r="C6" s="3">
        <v>4007</v>
      </c>
      <c r="D6" s="3">
        <v>3258</v>
      </c>
      <c r="E6" s="3">
        <v>4444</v>
      </c>
      <c r="F6" s="3">
        <f t="shared" si="0"/>
        <v>11709</v>
      </c>
    </row>
    <row r="7" spans="1:9" x14ac:dyDescent="0.25">
      <c r="A7" s="2" t="s">
        <v>4</v>
      </c>
      <c r="B7" s="2" t="s">
        <v>9</v>
      </c>
      <c r="C7" s="3">
        <v>1910</v>
      </c>
      <c r="D7" s="3">
        <v>1681</v>
      </c>
      <c r="E7" s="3">
        <v>2625</v>
      </c>
      <c r="F7" s="3">
        <f t="shared" si="0"/>
        <v>6216</v>
      </c>
    </row>
    <row r="8" spans="1:9" x14ac:dyDescent="0.25">
      <c r="A8" s="2" t="s">
        <v>0</v>
      </c>
      <c r="B8" s="2" t="s">
        <v>5</v>
      </c>
      <c r="C8" s="3">
        <v>2927</v>
      </c>
      <c r="D8" s="3">
        <v>1212</v>
      </c>
      <c r="E8" s="3">
        <v>4459</v>
      </c>
      <c r="F8" s="3">
        <f t="shared" si="0"/>
        <v>8598</v>
      </c>
    </row>
    <row r="9" spans="1:9" x14ac:dyDescent="0.25">
      <c r="A9" s="2" t="s">
        <v>1</v>
      </c>
      <c r="B9" s="2" t="s">
        <v>6</v>
      </c>
      <c r="C9" s="3">
        <v>3665</v>
      </c>
      <c r="D9" s="3">
        <v>4467</v>
      </c>
      <c r="E9" s="3">
        <v>2036</v>
      </c>
      <c r="F9" s="3">
        <f t="shared" si="0"/>
        <v>10168</v>
      </c>
      <c r="I9" s="1"/>
    </row>
    <row r="10" spans="1:9" x14ac:dyDescent="0.25">
      <c r="A10" s="2" t="s">
        <v>2</v>
      </c>
      <c r="B10" s="2" t="s">
        <v>7</v>
      </c>
      <c r="C10" s="3">
        <v>2320</v>
      </c>
      <c r="D10" s="3">
        <v>1963</v>
      </c>
      <c r="E10" s="3">
        <v>3365</v>
      </c>
      <c r="F10" s="3">
        <f t="shared" si="0"/>
        <v>7648</v>
      </c>
    </row>
    <row r="11" spans="1:9" x14ac:dyDescent="0.25">
      <c r="A11" s="2" t="s">
        <v>3</v>
      </c>
      <c r="B11" s="2" t="s">
        <v>8</v>
      </c>
      <c r="C11" s="3">
        <v>4155</v>
      </c>
      <c r="D11" s="3">
        <v>2839</v>
      </c>
      <c r="E11" s="3">
        <v>3824</v>
      </c>
      <c r="F11" s="3">
        <f t="shared" si="0"/>
        <v>10818</v>
      </c>
    </row>
    <row r="12" spans="1:9" x14ac:dyDescent="0.25">
      <c r="A12" s="2" t="s">
        <v>4</v>
      </c>
      <c r="B12" s="2" t="s">
        <v>9</v>
      </c>
      <c r="C12" s="3">
        <v>2615</v>
      </c>
      <c r="D12" s="3">
        <v>1218</v>
      </c>
      <c r="E12" s="3">
        <v>2190</v>
      </c>
      <c r="F12" s="3">
        <f t="shared" si="0"/>
        <v>6023</v>
      </c>
    </row>
    <row r="13" spans="1:9" x14ac:dyDescent="0.25">
      <c r="A13" s="2" t="s">
        <v>0</v>
      </c>
      <c r="B13" s="2" t="s">
        <v>5</v>
      </c>
      <c r="C13" s="3">
        <v>3034</v>
      </c>
      <c r="D13" s="3">
        <v>3989</v>
      </c>
      <c r="E13" s="3">
        <v>2105</v>
      </c>
      <c r="F13" s="3">
        <f t="shared" si="0"/>
        <v>9128</v>
      </c>
    </row>
    <row r="14" spans="1:9" x14ac:dyDescent="0.25">
      <c r="A14" s="2" t="s">
        <v>1</v>
      </c>
      <c r="B14" s="2" t="s">
        <v>6</v>
      </c>
      <c r="C14" s="3">
        <v>3094</v>
      </c>
      <c r="D14" s="3">
        <v>3640</v>
      </c>
      <c r="E14" s="3">
        <v>4200</v>
      </c>
      <c r="F14" s="3">
        <f t="shared" si="0"/>
        <v>10934</v>
      </c>
    </row>
    <row r="15" spans="1:9" x14ac:dyDescent="0.25">
      <c r="A15" s="2" t="s">
        <v>2</v>
      </c>
      <c r="B15" s="2" t="s">
        <v>7</v>
      </c>
      <c r="C15" s="3">
        <v>2144</v>
      </c>
      <c r="D15" s="3">
        <v>1691</v>
      </c>
      <c r="E15" s="3">
        <v>3816</v>
      </c>
      <c r="F15" s="3">
        <f t="shared" si="0"/>
        <v>7651</v>
      </c>
    </row>
    <row r="16" spans="1:9" x14ac:dyDescent="0.25">
      <c r="A16" s="2" t="s">
        <v>3</v>
      </c>
      <c r="B16" s="2" t="s">
        <v>8</v>
      </c>
      <c r="C16" s="3">
        <v>3101</v>
      </c>
      <c r="D16" s="3">
        <v>1837</v>
      </c>
      <c r="E16" s="3">
        <v>2531</v>
      </c>
      <c r="F16" s="3">
        <f t="shared" si="0"/>
        <v>7469</v>
      </c>
    </row>
    <row r="17" spans="1:6" x14ac:dyDescent="0.25">
      <c r="A17" s="2" t="s">
        <v>4</v>
      </c>
      <c r="B17" s="2" t="s">
        <v>9</v>
      </c>
      <c r="C17" s="3">
        <v>1573</v>
      </c>
      <c r="D17" s="3">
        <v>3153</v>
      </c>
      <c r="E17" s="3">
        <v>2779</v>
      </c>
      <c r="F17" s="3">
        <f t="shared" si="0"/>
        <v>7505</v>
      </c>
    </row>
    <row r="18" spans="1:6" x14ac:dyDescent="0.25">
      <c r="A18" s="2" t="s">
        <v>0</v>
      </c>
      <c r="B18" s="2" t="s">
        <v>5</v>
      </c>
      <c r="C18" s="3">
        <v>2129</v>
      </c>
      <c r="D18" s="3">
        <v>2269</v>
      </c>
      <c r="E18" s="3">
        <v>2554</v>
      </c>
      <c r="F18" s="3">
        <f t="shared" si="0"/>
        <v>6952</v>
      </c>
    </row>
    <row r="19" spans="1:6" x14ac:dyDescent="0.25">
      <c r="A19" s="2" t="s">
        <v>1</v>
      </c>
      <c r="B19" s="2" t="s">
        <v>6</v>
      </c>
      <c r="C19" s="3">
        <v>2501</v>
      </c>
      <c r="D19" s="3">
        <v>1132</v>
      </c>
      <c r="E19" s="3">
        <v>3765</v>
      </c>
      <c r="F19" s="3">
        <f t="shared" si="0"/>
        <v>7398</v>
      </c>
    </row>
    <row r="20" spans="1:6" x14ac:dyDescent="0.25">
      <c r="A20" s="2" t="s">
        <v>2</v>
      </c>
      <c r="B20" s="2" t="s">
        <v>7</v>
      </c>
      <c r="C20" s="3">
        <v>1429</v>
      </c>
      <c r="D20" s="3">
        <v>1963</v>
      </c>
      <c r="E20" s="3">
        <v>2438</v>
      </c>
      <c r="F20" s="3">
        <f t="shared" si="0"/>
        <v>5830</v>
      </c>
    </row>
    <row r="21" spans="1:6" x14ac:dyDescent="0.25">
      <c r="A21" s="2" t="s">
        <v>3</v>
      </c>
      <c r="B21" s="2" t="s">
        <v>8</v>
      </c>
      <c r="C21" s="3">
        <v>2709</v>
      </c>
      <c r="D21" s="3">
        <v>3120</v>
      </c>
      <c r="E21" s="3">
        <v>1838</v>
      </c>
      <c r="F21" s="3">
        <f t="shared" si="0"/>
        <v>7667</v>
      </c>
    </row>
    <row r="22" spans="1:6" x14ac:dyDescent="0.25">
      <c r="A22" s="2" t="s">
        <v>4</v>
      </c>
      <c r="B22" s="2" t="s">
        <v>9</v>
      </c>
      <c r="C22" s="3">
        <v>2704</v>
      </c>
      <c r="D22" s="3">
        <v>3083</v>
      </c>
      <c r="E22" s="3">
        <v>2183</v>
      </c>
      <c r="F22" s="3">
        <v>7890</v>
      </c>
    </row>
    <row r="23" spans="1:6" x14ac:dyDescent="0.25">
      <c r="F23">
        <f>SUM(F1:$F$22)</f>
        <v>161434</v>
      </c>
    </row>
  </sheetData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GeraRelatorioFinal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47625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F23"/>
  <sheetViews>
    <sheetView workbookViewId="0">
      <selection sqref="A1:F23"/>
    </sheetView>
  </sheetViews>
  <sheetFormatPr defaultRowHeight="15" x14ac:dyDescent="0.25"/>
  <cols>
    <col min="2" max="2" width="14" bestFit="1" customWidth="1"/>
  </cols>
  <sheetData>
    <row r="1" spans="1:6" x14ac:dyDescent="0.25">
      <c r="A1" s="5" t="s">
        <v>10</v>
      </c>
      <c r="B1" s="6"/>
      <c r="C1" s="6"/>
      <c r="D1" s="6"/>
      <c r="E1" s="6"/>
      <c r="F1" s="7"/>
    </row>
    <row r="2" spans="1:6" x14ac:dyDescent="0.25">
      <c r="A2" s="4" t="s">
        <v>11</v>
      </c>
      <c r="B2" s="4" t="s">
        <v>12</v>
      </c>
      <c r="C2" s="4" t="s">
        <v>13</v>
      </c>
      <c r="D2" s="4" t="s">
        <v>14</v>
      </c>
      <c r="E2" s="4" t="s">
        <v>15</v>
      </c>
      <c r="F2" s="4" t="s">
        <v>16</v>
      </c>
    </row>
    <row r="3" spans="1:6" x14ac:dyDescent="0.25">
      <c r="A3" s="2" t="s">
        <v>0</v>
      </c>
      <c r="B3" s="2" t="s">
        <v>5</v>
      </c>
      <c r="C3" s="3">
        <v>1925</v>
      </c>
      <c r="D3" s="3">
        <v>3588</v>
      </c>
      <c r="E3" s="3">
        <v>1599</v>
      </c>
      <c r="F3" s="3">
        <f>SUM(C3:E3)</f>
        <v>7112</v>
      </c>
    </row>
    <row r="4" spans="1:6" x14ac:dyDescent="0.25">
      <c r="A4" s="2" t="s">
        <v>1</v>
      </c>
      <c r="B4" s="2" t="s">
        <v>6</v>
      </c>
      <c r="C4" s="3">
        <v>2317</v>
      </c>
      <c r="D4" s="3">
        <v>1141</v>
      </c>
      <c r="E4" s="3">
        <v>2777</v>
      </c>
      <c r="F4" s="3">
        <f t="shared" ref="F4:F22" si="0">SUM(C4:E4)</f>
        <v>6235</v>
      </c>
    </row>
    <row r="5" spans="1:6" x14ac:dyDescent="0.25">
      <c r="A5" s="2" t="s">
        <v>2</v>
      </c>
      <c r="B5" s="2" t="s">
        <v>7</v>
      </c>
      <c r="C5" s="3">
        <v>1430</v>
      </c>
      <c r="D5" s="3">
        <v>4104</v>
      </c>
      <c r="E5" s="3">
        <v>3111</v>
      </c>
      <c r="F5" s="3">
        <f t="shared" si="0"/>
        <v>8645</v>
      </c>
    </row>
    <row r="6" spans="1:6" x14ac:dyDescent="0.25">
      <c r="A6" s="2" t="s">
        <v>3</v>
      </c>
      <c r="B6" s="2" t="s">
        <v>8</v>
      </c>
      <c r="C6" s="3">
        <v>1448</v>
      </c>
      <c r="D6" s="3">
        <v>3717</v>
      </c>
      <c r="E6" s="3">
        <v>3530</v>
      </c>
      <c r="F6" s="3">
        <f t="shared" si="0"/>
        <v>8695</v>
      </c>
    </row>
    <row r="7" spans="1:6" x14ac:dyDescent="0.25">
      <c r="A7" s="2" t="s">
        <v>4</v>
      </c>
      <c r="B7" s="2" t="s">
        <v>9</v>
      </c>
      <c r="C7" s="3">
        <v>1019</v>
      </c>
      <c r="D7" s="3">
        <v>1044</v>
      </c>
      <c r="E7" s="3">
        <v>3965</v>
      </c>
      <c r="F7" s="3">
        <f t="shared" si="0"/>
        <v>6028</v>
      </c>
    </row>
    <row r="8" spans="1:6" x14ac:dyDescent="0.25">
      <c r="A8" s="2" t="s">
        <v>0</v>
      </c>
      <c r="B8" s="2" t="s">
        <v>5</v>
      </c>
      <c r="C8" s="3">
        <v>4007</v>
      </c>
      <c r="D8" s="3">
        <v>2492</v>
      </c>
      <c r="E8" s="3">
        <v>3113</v>
      </c>
      <c r="F8" s="3">
        <f t="shared" si="0"/>
        <v>9612</v>
      </c>
    </row>
    <row r="9" spans="1:6" x14ac:dyDescent="0.25">
      <c r="A9" s="2" t="s">
        <v>1</v>
      </c>
      <c r="B9" s="2" t="s">
        <v>6</v>
      </c>
      <c r="C9" s="3">
        <v>2611</v>
      </c>
      <c r="D9" s="3">
        <v>3437</v>
      </c>
      <c r="E9" s="3">
        <v>1820</v>
      </c>
      <c r="F9" s="3">
        <f t="shared" si="0"/>
        <v>7868</v>
      </c>
    </row>
    <row r="10" spans="1:6" x14ac:dyDescent="0.25">
      <c r="A10" s="2" t="s">
        <v>2</v>
      </c>
      <c r="B10" s="2" t="s">
        <v>7</v>
      </c>
      <c r="C10" s="3">
        <v>1992</v>
      </c>
      <c r="D10" s="3">
        <v>2765</v>
      </c>
      <c r="E10" s="3">
        <v>4347</v>
      </c>
      <c r="F10" s="3">
        <f t="shared" si="0"/>
        <v>9104</v>
      </c>
    </row>
    <row r="11" spans="1:6" x14ac:dyDescent="0.25">
      <c r="A11" s="2" t="s">
        <v>3</v>
      </c>
      <c r="B11" s="2" t="s">
        <v>8</v>
      </c>
      <c r="C11" s="3">
        <v>3497</v>
      </c>
      <c r="D11" s="3">
        <v>2080</v>
      </c>
      <c r="E11" s="3">
        <v>3805</v>
      </c>
      <c r="F11" s="3">
        <f t="shared" si="0"/>
        <v>9382</v>
      </c>
    </row>
    <row r="12" spans="1:6" x14ac:dyDescent="0.25">
      <c r="A12" s="2" t="s">
        <v>4</v>
      </c>
      <c r="B12" s="2" t="s">
        <v>9</v>
      </c>
      <c r="C12" s="3">
        <v>2054</v>
      </c>
      <c r="D12" s="3">
        <v>1515</v>
      </c>
      <c r="E12" s="3">
        <v>2699</v>
      </c>
      <c r="F12" s="3">
        <f t="shared" si="0"/>
        <v>6268</v>
      </c>
    </row>
    <row r="13" spans="1:6" x14ac:dyDescent="0.25">
      <c r="A13" s="2" t="s">
        <v>0</v>
      </c>
      <c r="B13" s="2" t="s">
        <v>5</v>
      </c>
      <c r="C13" s="3">
        <v>2732</v>
      </c>
      <c r="D13" s="3">
        <v>2574</v>
      </c>
      <c r="E13" s="3">
        <v>2539</v>
      </c>
      <c r="F13" s="3">
        <f t="shared" si="0"/>
        <v>7845</v>
      </c>
    </row>
    <row r="14" spans="1:6" x14ac:dyDescent="0.25">
      <c r="A14" s="2" t="s">
        <v>1</v>
      </c>
      <c r="B14" s="2" t="s">
        <v>6</v>
      </c>
      <c r="C14" s="3">
        <v>4404</v>
      </c>
      <c r="D14" s="3">
        <v>2272</v>
      </c>
      <c r="E14" s="3">
        <v>4437</v>
      </c>
      <c r="F14" s="3">
        <f t="shared" si="0"/>
        <v>11113</v>
      </c>
    </row>
    <row r="15" spans="1:6" x14ac:dyDescent="0.25">
      <c r="A15" s="2" t="s">
        <v>2</v>
      </c>
      <c r="B15" s="2" t="s">
        <v>7</v>
      </c>
      <c r="C15" s="3">
        <v>1072</v>
      </c>
      <c r="D15" s="3">
        <v>3114</v>
      </c>
      <c r="E15" s="3">
        <v>2894</v>
      </c>
      <c r="F15" s="3">
        <f t="shared" si="0"/>
        <v>7080</v>
      </c>
    </row>
    <row r="16" spans="1:6" x14ac:dyDescent="0.25">
      <c r="A16" s="2" t="s">
        <v>3</v>
      </c>
      <c r="B16" s="2" t="s">
        <v>8</v>
      </c>
      <c r="C16" s="3">
        <v>1377</v>
      </c>
      <c r="D16" s="3">
        <v>3079</v>
      </c>
      <c r="E16" s="3">
        <v>4125</v>
      </c>
      <c r="F16" s="3">
        <f t="shared" si="0"/>
        <v>8581</v>
      </c>
    </row>
    <row r="17" spans="1:6" x14ac:dyDescent="0.25">
      <c r="A17" s="2" t="s">
        <v>4</v>
      </c>
      <c r="B17" s="2" t="s">
        <v>9</v>
      </c>
      <c r="C17" s="3">
        <v>4386</v>
      </c>
      <c r="D17" s="3">
        <v>4363</v>
      </c>
      <c r="E17" s="3">
        <v>4167</v>
      </c>
      <c r="F17" s="3">
        <f t="shared" si="0"/>
        <v>12916</v>
      </c>
    </row>
    <row r="18" spans="1:6" x14ac:dyDescent="0.25">
      <c r="A18" s="2" t="s">
        <v>0</v>
      </c>
      <c r="B18" s="2" t="s">
        <v>5</v>
      </c>
      <c r="C18" s="3">
        <v>3573</v>
      </c>
      <c r="D18" s="3">
        <v>4128</v>
      </c>
      <c r="E18" s="3">
        <v>1355</v>
      </c>
      <c r="F18" s="3">
        <f t="shared" si="0"/>
        <v>9056</v>
      </c>
    </row>
    <row r="19" spans="1:6" x14ac:dyDescent="0.25">
      <c r="A19" s="2" t="s">
        <v>1</v>
      </c>
      <c r="B19" s="2" t="s">
        <v>6</v>
      </c>
      <c r="C19" s="3">
        <v>1773</v>
      </c>
      <c r="D19" s="3">
        <v>3726</v>
      </c>
      <c r="E19" s="3">
        <v>1226</v>
      </c>
      <c r="F19" s="3">
        <f t="shared" si="0"/>
        <v>6725</v>
      </c>
    </row>
    <row r="20" spans="1:6" x14ac:dyDescent="0.25">
      <c r="A20" s="2" t="s">
        <v>2</v>
      </c>
      <c r="B20" s="2" t="s">
        <v>7</v>
      </c>
      <c r="C20" s="3">
        <v>2327</v>
      </c>
      <c r="D20" s="3">
        <v>3210</v>
      </c>
      <c r="E20" s="3">
        <v>3093</v>
      </c>
      <c r="F20" s="3">
        <f t="shared" si="0"/>
        <v>8630</v>
      </c>
    </row>
    <row r="21" spans="1:6" x14ac:dyDescent="0.25">
      <c r="A21" s="2" t="s">
        <v>3</v>
      </c>
      <c r="B21" s="2" t="s">
        <v>8</v>
      </c>
      <c r="C21" s="3">
        <v>2795</v>
      </c>
      <c r="D21" s="3">
        <v>3961</v>
      </c>
      <c r="E21" s="3">
        <v>3395</v>
      </c>
      <c r="F21" s="3">
        <f t="shared" si="0"/>
        <v>10151</v>
      </c>
    </row>
    <row r="22" spans="1:6" x14ac:dyDescent="0.25">
      <c r="A22" s="2" t="s">
        <v>4</v>
      </c>
      <c r="B22" s="2" t="s">
        <v>9</v>
      </c>
      <c r="C22" s="3">
        <v>1362</v>
      </c>
      <c r="D22" s="3">
        <v>1030</v>
      </c>
      <c r="E22" s="3">
        <v>4185</v>
      </c>
      <c r="F22" s="3">
        <f t="shared" si="0"/>
        <v>6577</v>
      </c>
    </row>
    <row r="23" spans="1:6" x14ac:dyDescent="0.25">
      <c r="F23">
        <f>SUM(F1:$F$22)</f>
        <v>167623</v>
      </c>
    </row>
  </sheetData>
  <mergeCells count="1">
    <mergeCell ref="A1:F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F23"/>
  <sheetViews>
    <sheetView workbookViewId="0">
      <selection sqref="A1:F23"/>
    </sheetView>
  </sheetViews>
  <sheetFormatPr defaultRowHeight="15" x14ac:dyDescent="0.25"/>
  <cols>
    <col min="2" max="2" width="14" bestFit="1" customWidth="1"/>
  </cols>
  <sheetData>
    <row r="1" spans="1:6" x14ac:dyDescent="0.25">
      <c r="A1" s="5" t="s">
        <v>10</v>
      </c>
      <c r="B1" s="6"/>
      <c r="C1" s="6"/>
      <c r="D1" s="6"/>
      <c r="E1" s="6"/>
      <c r="F1" s="7"/>
    </row>
    <row r="2" spans="1:6" x14ac:dyDescent="0.25">
      <c r="A2" s="4" t="s">
        <v>11</v>
      </c>
      <c r="B2" s="4" t="s">
        <v>12</v>
      </c>
      <c r="C2" s="4" t="s">
        <v>13</v>
      </c>
      <c r="D2" s="4" t="s">
        <v>14</v>
      </c>
      <c r="E2" s="4" t="s">
        <v>15</v>
      </c>
      <c r="F2" s="4" t="s">
        <v>16</v>
      </c>
    </row>
    <row r="3" spans="1:6" x14ac:dyDescent="0.25">
      <c r="A3" s="2" t="s">
        <v>0</v>
      </c>
      <c r="B3" s="2" t="s">
        <v>5</v>
      </c>
      <c r="C3" s="3">
        <v>1925</v>
      </c>
      <c r="D3" s="3">
        <v>3588</v>
      </c>
      <c r="E3" s="3">
        <v>1599</v>
      </c>
      <c r="F3" s="3">
        <f>SUM(C3:E3)</f>
        <v>7112</v>
      </c>
    </row>
    <row r="4" spans="1:6" x14ac:dyDescent="0.25">
      <c r="A4" s="2" t="s">
        <v>1</v>
      </c>
      <c r="B4" s="2" t="s">
        <v>6</v>
      </c>
      <c r="C4" s="3">
        <v>2317</v>
      </c>
      <c r="D4" s="3">
        <v>1141</v>
      </c>
      <c r="E4" s="3">
        <v>2777</v>
      </c>
      <c r="F4" s="3">
        <f t="shared" ref="F4:F22" si="0">SUM(C4:E4)</f>
        <v>6235</v>
      </c>
    </row>
    <row r="5" spans="1:6" x14ac:dyDescent="0.25">
      <c r="A5" s="2" t="s">
        <v>2</v>
      </c>
      <c r="B5" s="2" t="s">
        <v>7</v>
      </c>
      <c r="C5" s="3">
        <v>1430</v>
      </c>
      <c r="D5" s="3">
        <v>4104</v>
      </c>
      <c r="E5" s="3">
        <v>3111</v>
      </c>
      <c r="F5" s="3">
        <f t="shared" si="0"/>
        <v>8645</v>
      </c>
    </row>
    <row r="6" spans="1:6" x14ac:dyDescent="0.25">
      <c r="A6" s="2" t="s">
        <v>3</v>
      </c>
      <c r="B6" s="2" t="s">
        <v>8</v>
      </c>
      <c r="C6" s="3">
        <v>1448</v>
      </c>
      <c r="D6" s="3">
        <v>3717</v>
      </c>
      <c r="E6" s="3">
        <v>3530</v>
      </c>
      <c r="F6" s="3">
        <f t="shared" si="0"/>
        <v>8695</v>
      </c>
    </row>
    <row r="7" spans="1:6" x14ac:dyDescent="0.25">
      <c r="A7" s="2" t="s">
        <v>4</v>
      </c>
      <c r="B7" s="2" t="s">
        <v>9</v>
      </c>
      <c r="C7" s="3">
        <v>1019</v>
      </c>
      <c r="D7" s="3">
        <v>1044</v>
      </c>
      <c r="E7" s="3">
        <v>3965</v>
      </c>
      <c r="F7" s="3">
        <f t="shared" si="0"/>
        <v>6028</v>
      </c>
    </row>
    <row r="8" spans="1:6" x14ac:dyDescent="0.25">
      <c r="A8" s="2" t="s">
        <v>0</v>
      </c>
      <c r="B8" s="2" t="s">
        <v>5</v>
      </c>
      <c r="C8" s="3">
        <v>4007</v>
      </c>
      <c r="D8" s="3">
        <v>2492</v>
      </c>
      <c r="E8" s="3">
        <v>3113</v>
      </c>
      <c r="F8" s="3">
        <f t="shared" si="0"/>
        <v>9612</v>
      </c>
    </row>
    <row r="9" spans="1:6" x14ac:dyDescent="0.25">
      <c r="A9" s="2" t="s">
        <v>1</v>
      </c>
      <c r="B9" s="2" t="s">
        <v>6</v>
      </c>
      <c r="C9" s="3">
        <v>2611</v>
      </c>
      <c r="D9" s="3">
        <v>3437</v>
      </c>
      <c r="E9" s="3">
        <v>1820</v>
      </c>
      <c r="F9" s="3">
        <f t="shared" si="0"/>
        <v>7868</v>
      </c>
    </row>
    <row r="10" spans="1:6" x14ac:dyDescent="0.25">
      <c r="A10" s="2" t="s">
        <v>2</v>
      </c>
      <c r="B10" s="2" t="s">
        <v>7</v>
      </c>
      <c r="C10" s="3">
        <v>1992</v>
      </c>
      <c r="D10" s="3">
        <v>2765</v>
      </c>
      <c r="E10" s="3">
        <v>4347</v>
      </c>
      <c r="F10" s="3">
        <f t="shared" si="0"/>
        <v>9104</v>
      </c>
    </row>
    <row r="11" spans="1:6" x14ac:dyDescent="0.25">
      <c r="A11" s="2" t="s">
        <v>3</v>
      </c>
      <c r="B11" s="2" t="s">
        <v>8</v>
      </c>
      <c r="C11" s="3">
        <v>3497</v>
      </c>
      <c r="D11" s="3">
        <v>2080</v>
      </c>
      <c r="E11" s="3">
        <v>3805</v>
      </c>
      <c r="F11" s="3">
        <f t="shared" si="0"/>
        <v>9382</v>
      </c>
    </row>
    <row r="12" spans="1:6" x14ac:dyDescent="0.25">
      <c r="A12" s="2" t="s">
        <v>4</v>
      </c>
      <c r="B12" s="2" t="s">
        <v>9</v>
      </c>
      <c r="C12" s="3">
        <v>2054</v>
      </c>
      <c r="D12" s="3">
        <v>1515</v>
      </c>
      <c r="E12" s="3">
        <v>2699</v>
      </c>
      <c r="F12" s="3">
        <f t="shared" si="0"/>
        <v>6268</v>
      </c>
    </row>
    <row r="13" spans="1:6" x14ac:dyDescent="0.25">
      <c r="A13" s="2" t="s">
        <v>0</v>
      </c>
      <c r="B13" s="2" t="s">
        <v>5</v>
      </c>
      <c r="C13" s="3">
        <v>2732</v>
      </c>
      <c r="D13" s="3">
        <v>2574</v>
      </c>
      <c r="E13" s="3">
        <v>2539</v>
      </c>
      <c r="F13" s="3">
        <f t="shared" si="0"/>
        <v>7845</v>
      </c>
    </row>
    <row r="14" spans="1:6" x14ac:dyDescent="0.25">
      <c r="A14" s="2" t="s">
        <v>1</v>
      </c>
      <c r="B14" s="2" t="s">
        <v>6</v>
      </c>
      <c r="C14" s="3">
        <v>4404</v>
      </c>
      <c r="D14" s="3">
        <v>2272</v>
      </c>
      <c r="E14" s="3">
        <v>4437</v>
      </c>
      <c r="F14" s="3">
        <f t="shared" si="0"/>
        <v>11113</v>
      </c>
    </row>
    <row r="15" spans="1:6" x14ac:dyDescent="0.25">
      <c r="A15" s="2" t="s">
        <v>2</v>
      </c>
      <c r="B15" s="2" t="s">
        <v>7</v>
      </c>
      <c r="C15" s="3">
        <v>1072</v>
      </c>
      <c r="D15" s="3">
        <v>3114</v>
      </c>
      <c r="E15" s="3">
        <v>2894</v>
      </c>
      <c r="F15" s="3">
        <f t="shared" si="0"/>
        <v>7080</v>
      </c>
    </row>
    <row r="16" spans="1:6" x14ac:dyDescent="0.25">
      <c r="A16" s="2" t="s">
        <v>3</v>
      </c>
      <c r="B16" s="2" t="s">
        <v>8</v>
      </c>
      <c r="C16" s="3">
        <v>1377</v>
      </c>
      <c r="D16" s="3">
        <v>3079</v>
      </c>
      <c r="E16" s="3">
        <v>4125</v>
      </c>
      <c r="F16" s="3">
        <f t="shared" si="0"/>
        <v>8581</v>
      </c>
    </row>
    <row r="17" spans="1:6" x14ac:dyDescent="0.25">
      <c r="A17" s="2" t="s">
        <v>4</v>
      </c>
      <c r="B17" s="2" t="s">
        <v>9</v>
      </c>
      <c r="C17" s="3">
        <v>4386</v>
      </c>
      <c r="D17" s="3">
        <v>4363</v>
      </c>
      <c r="E17" s="3">
        <v>4167</v>
      </c>
      <c r="F17" s="3">
        <f t="shared" si="0"/>
        <v>12916</v>
      </c>
    </row>
    <row r="18" spans="1:6" x14ac:dyDescent="0.25">
      <c r="A18" s="2" t="s">
        <v>0</v>
      </c>
      <c r="B18" s="2" t="s">
        <v>5</v>
      </c>
      <c r="C18" s="3">
        <v>3573</v>
      </c>
      <c r="D18" s="3">
        <v>4128</v>
      </c>
      <c r="E18" s="3">
        <v>1355</v>
      </c>
      <c r="F18" s="3">
        <f t="shared" si="0"/>
        <v>9056</v>
      </c>
    </row>
    <row r="19" spans="1:6" x14ac:dyDescent="0.25">
      <c r="A19" s="2" t="s">
        <v>1</v>
      </c>
      <c r="B19" s="2" t="s">
        <v>6</v>
      </c>
      <c r="C19" s="3">
        <v>1773</v>
      </c>
      <c r="D19" s="3">
        <v>3726</v>
      </c>
      <c r="E19" s="3">
        <v>1226</v>
      </c>
      <c r="F19" s="3">
        <f t="shared" si="0"/>
        <v>6725</v>
      </c>
    </row>
    <row r="20" spans="1:6" x14ac:dyDescent="0.25">
      <c r="A20" s="2" t="s">
        <v>2</v>
      </c>
      <c r="B20" s="2" t="s">
        <v>7</v>
      </c>
      <c r="C20" s="3">
        <v>2327</v>
      </c>
      <c r="D20" s="3">
        <v>3210</v>
      </c>
      <c r="E20" s="3">
        <v>3093</v>
      </c>
      <c r="F20" s="3">
        <f t="shared" si="0"/>
        <v>8630</v>
      </c>
    </row>
    <row r="21" spans="1:6" x14ac:dyDescent="0.25">
      <c r="A21" s="2" t="s">
        <v>3</v>
      </c>
      <c r="B21" s="2" t="s">
        <v>8</v>
      </c>
      <c r="C21" s="3">
        <v>2795</v>
      </c>
      <c r="D21" s="3">
        <v>3961</v>
      </c>
      <c r="E21" s="3">
        <v>3395</v>
      </c>
      <c r="F21" s="3">
        <f t="shared" si="0"/>
        <v>10151</v>
      </c>
    </row>
    <row r="22" spans="1:6" x14ac:dyDescent="0.25">
      <c r="A22" s="2" t="s">
        <v>4</v>
      </c>
      <c r="B22" s="2" t="s">
        <v>9</v>
      </c>
      <c r="C22" s="3">
        <v>1362</v>
      </c>
      <c r="D22" s="3">
        <v>1030</v>
      </c>
      <c r="E22" s="3">
        <v>4185</v>
      </c>
      <c r="F22" s="3">
        <f t="shared" si="0"/>
        <v>6577</v>
      </c>
    </row>
    <row r="23" spans="1:6" x14ac:dyDescent="0.25">
      <c r="F23">
        <f>SUM(F1:$F$22)</f>
        <v>167623</v>
      </c>
    </row>
  </sheetData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3:F71"/>
  <sheetViews>
    <sheetView tabSelected="1" topLeftCell="A21" workbookViewId="0">
      <selection activeCell="J46" sqref="J46"/>
    </sheetView>
  </sheetViews>
  <sheetFormatPr defaultRowHeight="15" x14ac:dyDescent="0.25"/>
  <sheetData>
    <row r="3" spans="1:6" x14ac:dyDescent="0.25">
      <c r="A3" s="5" t="s">
        <v>10</v>
      </c>
      <c r="B3" s="6"/>
      <c r="C3" s="6"/>
      <c r="D3" s="6"/>
      <c r="E3" s="6"/>
      <c r="F3" s="7"/>
    </row>
    <row r="4" spans="1:6" x14ac:dyDescent="0.25">
      <c r="A4" s="4" t="s">
        <v>11</v>
      </c>
      <c r="B4" s="4" t="s">
        <v>12</v>
      </c>
      <c r="C4" s="4" t="s">
        <v>13</v>
      </c>
      <c r="D4" s="4" t="s">
        <v>14</v>
      </c>
      <c r="E4" s="4" t="s">
        <v>15</v>
      </c>
      <c r="F4" s="4" t="s">
        <v>16</v>
      </c>
    </row>
    <row r="5" spans="1:6" x14ac:dyDescent="0.25">
      <c r="A5" s="2" t="s">
        <v>0</v>
      </c>
      <c r="B5" s="2" t="s">
        <v>5</v>
      </c>
      <c r="C5" s="3">
        <v>3332</v>
      </c>
      <c r="D5" s="3">
        <v>2239</v>
      </c>
      <c r="E5" s="3">
        <v>1062</v>
      </c>
      <c r="F5" s="3">
        <f>SUM(C5:E5)</f>
        <v>6633</v>
      </c>
    </row>
    <row r="6" spans="1:6" x14ac:dyDescent="0.25">
      <c r="A6" s="2" t="s">
        <v>1</v>
      </c>
      <c r="B6" s="2" t="s">
        <v>6</v>
      </c>
      <c r="C6" s="3">
        <v>1073</v>
      </c>
      <c r="D6" s="3">
        <v>3305</v>
      </c>
      <c r="E6" s="3">
        <v>1039</v>
      </c>
      <c r="F6" s="3">
        <f t="shared" ref="F6:F23" si="0">SUM(C6:E6)</f>
        <v>5417</v>
      </c>
    </row>
    <row r="7" spans="1:6" x14ac:dyDescent="0.25">
      <c r="A7" s="2" t="s">
        <v>2</v>
      </c>
      <c r="B7" s="2" t="s">
        <v>7</v>
      </c>
      <c r="C7" s="3">
        <v>3276</v>
      </c>
      <c r="D7" s="3">
        <v>2610</v>
      </c>
      <c r="E7" s="3">
        <v>3894</v>
      </c>
      <c r="F7" s="3">
        <f t="shared" si="0"/>
        <v>9780</v>
      </c>
    </row>
    <row r="8" spans="1:6" x14ac:dyDescent="0.25">
      <c r="A8" s="2" t="s">
        <v>3</v>
      </c>
      <c r="B8" s="2" t="s">
        <v>8</v>
      </c>
      <c r="C8" s="3">
        <v>4007</v>
      </c>
      <c r="D8" s="3">
        <v>3258</v>
      </c>
      <c r="E8" s="3">
        <v>4444</v>
      </c>
      <c r="F8" s="3">
        <f t="shared" si="0"/>
        <v>11709</v>
      </c>
    </row>
    <row r="9" spans="1:6" x14ac:dyDescent="0.25">
      <c r="A9" s="2" t="s">
        <v>4</v>
      </c>
      <c r="B9" s="2" t="s">
        <v>9</v>
      </c>
      <c r="C9" s="3">
        <v>1910</v>
      </c>
      <c r="D9" s="3">
        <v>1681</v>
      </c>
      <c r="E9" s="3">
        <v>2625</v>
      </c>
      <c r="F9" s="3">
        <f t="shared" si="0"/>
        <v>6216</v>
      </c>
    </row>
    <row r="10" spans="1:6" x14ac:dyDescent="0.25">
      <c r="A10" s="2" t="s">
        <v>0</v>
      </c>
      <c r="B10" s="2" t="s">
        <v>5</v>
      </c>
      <c r="C10" s="3">
        <v>2927</v>
      </c>
      <c r="D10" s="3">
        <v>1212</v>
      </c>
      <c r="E10" s="3">
        <v>4459</v>
      </c>
      <c r="F10" s="3">
        <f t="shared" si="0"/>
        <v>8598</v>
      </c>
    </row>
    <row r="11" spans="1:6" x14ac:dyDescent="0.25">
      <c r="A11" s="2" t="s">
        <v>1</v>
      </c>
      <c r="B11" s="2" t="s">
        <v>6</v>
      </c>
      <c r="C11" s="3">
        <v>3665</v>
      </c>
      <c r="D11" s="3">
        <v>4467</v>
      </c>
      <c r="E11" s="3">
        <v>2036</v>
      </c>
      <c r="F11" s="3">
        <f t="shared" si="0"/>
        <v>10168</v>
      </c>
    </row>
    <row r="12" spans="1:6" x14ac:dyDescent="0.25">
      <c r="A12" s="2" t="s">
        <v>2</v>
      </c>
      <c r="B12" s="2" t="s">
        <v>7</v>
      </c>
      <c r="C12" s="3">
        <v>2320</v>
      </c>
      <c r="D12" s="3">
        <v>1963</v>
      </c>
      <c r="E12" s="3">
        <v>3365</v>
      </c>
      <c r="F12" s="3">
        <f t="shared" si="0"/>
        <v>7648</v>
      </c>
    </row>
    <row r="13" spans="1:6" x14ac:dyDescent="0.25">
      <c r="A13" s="2" t="s">
        <v>3</v>
      </c>
      <c r="B13" s="2" t="s">
        <v>8</v>
      </c>
      <c r="C13" s="3">
        <v>4155</v>
      </c>
      <c r="D13" s="3">
        <v>2839</v>
      </c>
      <c r="E13" s="3">
        <v>3824</v>
      </c>
      <c r="F13" s="3">
        <f t="shared" si="0"/>
        <v>10818</v>
      </c>
    </row>
    <row r="14" spans="1:6" x14ac:dyDescent="0.25">
      <c r="A14" s="2" t="s">
        <v>4</v>
      </c>
      <c r="B14" s="2" t="s">
        <v>9</v>
      </c>
      <c r="C14" s="3">
        <v>2615</v>
      </c>
      <c r="D14" s="3">
        <v>1218</v>
      </c>
      <c r="E14" s="3">
        <v>2190</v>
      </c>
      <c r="F14" s="3">
        <f t="shared" si="0"/>
        <v>6023</v>
      </c>
    </row>
    <row r="15" spans="1:6" x14ac:dyDescent="0.25">
      <c r="A15" s="2" t="s">
        <v>0</v>
      </c>
      <c r="B15" s="2" t="s">
        <v>5</v>
      </c>
      <c r="C15" s="3">
        <v>3034</v>
      </c>
      <c r="D15" s="3">
        <v>3989</v>
      </c>
      <c r="E15" s="3">
        <v>2105</v>
      </c>
      <c r="F15" s="3">
        <f t="shared" si="0"/>
        <v>9128</v>
      </c>
    </row>
    <row r="16" spans="1:6" x14ac:dyDescent="0.25">
      <c r="A16" s="2" t="s">
        <v>1</v>
      </c>
      <c r="B16" s="2" t="s">
        <v>6</v>
      </c>
      <c r="C16" s="3">
        <v>3094</v>
      </c>
      <c r="D16" s="3">
        <v>3640</v>
      </c>
      <c r="E16" s="3">
        <v>4200</v>
      </c>
      <c r="F16" s="3">
        <f t="shared" si="0"/>
        <v>10934</v>
      </c>
    </row>
    <row r="17" spans="1:6" x14ac:dyDescent="0.25">
      <c r="A17" s="2" t="s">
        <v>2</v>
      </c>
      <c r="B17" s="2" t="s">
        <v>7</v>
      </c>
      <c r="C17" s="3">
        <v>2144</v>
      </c>
      <c r="D17" s="3">
        <v>1691</v>
      </c>
      <c r="E17" s="3">
        <v>3816</v>
      </c>
      <c r="F17" s="3">
        <f t="shared" si="0"/>
        <v>7651</v>
      </c>
    </row>
    <row r="18" spans="1:6" x14ac:dyDescent="0.25">
      <c r="A18" s="2" t="s">
        <v>3</v>
      </c>
      <c r="B18" s="2" t="s">
        <v>8</v>
      </c>
      <c r="C18" s="3">
        <v>3101</v>
      </c>
      <c r="D18" s="3">
        <v>1837</v>
      </c>
      <c r="E18" s="3">
        <v>2531</v>
      </c>
      <c r="F18" s="3">
        <f t="shared" si="0"/>
        <v>7469</v>
      </c>
    </row>
    <row r="19" spans="1:6" x14ac:dyDescent="0.25">
      <c r="A19" s="2" t="s">
        <v>4</v>
      </c>
      <c r="B19" s="2" t="s">
        <v>9</v>
      </c>
      <c r="C19" s="3">
        <v>1573</v>
      </c>
      <c r="D19" s="3">
        <v>3153</v>
      </c>
      <c r="E19" s="3">
        <v>2779</v>
      </c>
      <c r="F19" s="3">
        <f t="shared" si="0"/>
        <v>7505</v>
      </c>
    </row>
    <row r="20" spans="1:6" x14ac:dyDescent="0.25">
      <c r="A20" s="2" t="s">
        <v>0</v>
      </c>
      <c r="B20" s="2" t="s">
        <v>5</v>
      </c>
      <c r="C20" s="3">
        <v>2129</v>
      </c>
      <c r="D20" s="3">
        <v>2269</v>
      </c>
      <c r="E20" s="3">
        <v>2554</v>
      </c>
      <c r="F20" s="3">
        <f t="shared" si="0"/>
        <v>6952</v>
      </c>
    </row>
    <row r="21" spans="1:6" x14ac:dyDescent="0.25">
      <c r="A21" s="2" t="s">
        <v>1</v>
      </c>
      <c r="B21" s="2" t="s">
        <v>6</v>
      </c>
      <c r="C21" s="3">
        <v>2501</v>
      </c>
      <c r="D21" s="3">
        <v>1132</v>
      </c>
      <c r="E21" s="3">
        <v>3765</v>
      </c>
      <c r="F21" s="3">
        <f t="shared" si="0"/>
        <v>7398</v>
      </c>
    </row>
    <row r="22" spans="1:6" x14ac:dyDescent="0.25">
      <c r="A22" s="2" t="s">
        <v>2</v>
      </c>
      <c r="B22" s="2" t="s">
        <v>7</v>
      </c>
      <c r="C22" s="3">
        <v>1429</v>
      </c>
      <c r="D22" s="3">
        <v>1963</v>
      </c>
      <c r="E22" s="3">
        <v>2438</v>
      </c>
      <c r="F22" s="3">
        <f t="shared" si="0"/>
        <v>5830</v>
      </c>
    </row>
    <row r="23" spans="1:6" x14ac:dyDescent="0.25">
      <c r="A23" s="2" t="s">
        <v>3</v>
      </c>
      <c r="B23" s="2" t="s">
        <v>8</v>
      </c>
      <c r="C23" s="3">
        <v>2709</v>
      </c>
      <c r="D23" s="3">
        <v>3120</v>
      </c>
      <c r="E23" s="3">
        <v>1838</v>
      </c>
      <c r="F23" s="3">
        <f t="shared" si="0"/>
        <v>7667</v>
      </c>
    </row>
    <row r="24" spans="1:6" x14ac:dyDescent="0.25">
      <c r="A24" s="2" t="s">
        <v>4</v>
      </c>
      <c r="B24" s="2" t="s">
        <v>9</v>
      </c>
      <c r="C24" s="3">
        <v>2704</v>
      </c>
      <c r="D24" s="3">
        <v>3083</v>
      </c>
      <c r="E24" s="3">
        <v>2183</v>
      </c>
      <c r="F24" s="3">
        <v>7890</v>
      </c>
    </row>
    <row r="25" spans="1:6" x14ac:dyDescent="0.25">
      <c r="F25">
        <f>SUM(F3:$F$22)</f>
        <v>145877</v>
      </c>
    </row>
    <row r="26" spans="1:6" x14ac:dyDescent="0.25">
      <c r="A26" s="5" t="s">
        <v>10</v>
      </c>
      <c r="B26" s="6"/>
      <c r="C26" s="6"/>
      <c r="D26" s="6"/>
      <c r="E26" s="6"/>
      <c r="F26" s="7"/>
    </row>
    <row r="27" spans="1:6" x14ac:dyDescent="0.25">
      <c r="A27" s="4" t="s">
        <v>11</v>
      </c>
      <c r="B27" s="4" t="s">
        <v>12</v>
      </c>
      <c r="C27" s="4" t="s">
        <v>13</v>
      </c>
      <c r="D27" s="4" t="s">
        <v>14</v>
      </c>
      <c r="E27" s="4" t="s">
        <v>15</v>
      </c>
      <c r="F27" s="4" t="s">
        <v>16</v>
      </c>
    </row>
    <row r="28" spans="1:6" x14ac:dyDescent="0.25">
      <c r="A28" s="2" t="s">
        <v>0</v>
      </c>
      <c r="B28" s="2" t="s">
        <v>5</v>
      </c>
      <c r="C28" s="3">
        <v>1925</v>
      </c>
      <c r="D28" s="3">
        <v>3588</v>
      </c>
      <c r="E28" s="3">
        <v>1599</v>
      </c>
      <c r="F28" s="3">
        <f>SUM(C28:E28)</f>
        <v>7112</v>
      </c>
    </row>
    <row r="29" spans="1:6" x14ac:dyDescent="0.25">
      <c r="A29" s="2" t="s">
        <v>1</v>
      </c>
      <c r="B29" s="2" t="s">
        <v>6</v>
      </c>
      <c r="C29" s="3">
        <v>2317</v>
      </c>
      <c r="D29" s="3">
        <v>1141</v>
      </c>
      <c r="E29" s="3">
        <v>2777</v>
      </c>
      <c r="F29" s="3">
        <f t="shared" ref="F29:F47" si="1">SUM(C29:E29)</f>
        <v>6235</v>
      </c>
    </row>
    <row r="30" spans="1:6" x14ac:dyDescent="0.25">
      <c r="A30" s="2" t="s">
        <v>2</v>
      </c>
      <c r="B30" s="2" t="s">
        <v>7</v>
      </c>
      <c r="C30" s="3">
        <v>1430</v>
      </c>
      <c r="D30" s="3">
        <v>4104</v>
      </c>
      <c r="E30" s="3">
        <v>3111</v>
      </c>
      <c r="F30" s="3">
        <f t="shared" si="1"/>
        <v>8645</v>
      </c>
    </row>
    <row r="31" spans="1:6" x14ac:dyDescent="0.25">
      <c r="A31" s="2" t="s">
        <v>3</v>
      </c>
      <c r="B31" s="2" t="s">
        <v>8</v>
      </c>
      <c r="C31" s="3">
        <v>1448</v>
      </c>
      <c r="D31" s="3">
        <v>3717</v>
      </c>
      <c r="E31" s="3">
        <v>3530</v>
      </c>
      <c r="F31" s="3">
        <f t="shared" si="1"/>
        <v>8695</v>
      </c>
    </row>
    <row r="32" spans="1:6" x14ac:dyDescent="0.25">
      <c r="A32" s="2" t="s">
        <v>4</v>
      </c>
      <c r="B32" s="2" t="s">
        <v>9</v>
      </c>
      <c r="C32" s="3">
        <v>1019</v>
      </c>
      <c r="D32" s="3">
        <v>1044</v>
      </c>
      <c r="E32" s="3">
        <v>3965</v>
      </c>
      <c r="F32" s="3">
        <f t="shared" si="1"/>
        <v>6028</v>
      </c>
    </row>
    <row r="33" spans="1:6" x14ac:dyDescent="0.25">
      <c r="A33" s="2" t="s">
        <v>0</v>
      </c>
      <c r="B33" s="2" t="s">
        <v>5</v>
      </c>
      <c r="C33" s="3">
        <v>4007</v>
      </c>
      <c r="D33" s="3">
        <v>2492</v>
      </c>
      <c r="E33" s="3">
        <v>3113</v>
      </c>
      <c r="F33" s="3">
        <f t="shared" si="1"/>
        <v>9612</v>
      </c>
    </row>
    <row r="34" spans="1:6" x14ac:dyDescent="0.25">
      <c r="A34" s="2" t="s">
        <v>1</v>
      </c>
      <c r="B34" s="2" t="s">
        <v>6</v>
      </c>
      <c r="C34" s="3">
        <v>2611</v>
      </c>
      <c r="D34" s="3">
        <v>3437</v>
      </c>
      <c r="E34" s="3">
        <v>1820</v>
      </c>
      <c r="F34" s="3">
        <f t="shared" si="1"/>
        <v>7868</v>
      </c>
    </row>
    <row r="35" spans="1:6" x14ac:dyDescent="0.25">
      <c r="A35" s="2" t="s">
        <v>2</v>
      </c>
      <c r="B35" s="2" t="s">
        <v>7</v>
      </c>
      <c r="C35" s="3">
        <v>1992</v>
      </c>
      <c r="D35" s="3">
        <v>2765</v>
      </c>
      <c r="E35" s="3">
        <v>4347</v>
      </c>
      <c r="F35" s="3">
        <f t="shared" si="1"/>
        <v>9104</v>
      </c>
    </row>
    <row r="36" spans="1:6" x14ac:dyDescent="0.25">
      <c r="A36" s="2" t="s">
        <v>3</v>
      </c>
      <c r="B36" s="2" t="s">
        <v>8</v>
      </c>
      <c r="C36" s="3">
        <v>3497</v>
      </c>
      <c r="D36" s="3">
        <v>2080</v>
      </c>
      <c r="E36" s="3">
        <v>3805</v>
      </c>
      <c r="F36" s="3">
        <f t="shared" si="1"/>
        <v>9382</v>
      </c>
    </row>
    <row r="37" spans="1:6" x14ac:dyDescent="0.25">
      <c r="A37" s="2" t="s">
        <v>4</v>
      </c>
      <c r="B37" s="2" t="s">
        <v>9</v>
      </c>
      <c r="C37" s="3">
        <v>2054</v>
      </c>
      <c r="D37" s="3">
        <v>1515</v>
      </c>
      <c r="E37" s="3">
        <v>2699</v>
      </c>
      <c r="F37" s="3">
        <f t="shared" si="1"/>
        <v>6268</v>
      </c>
    </row>
    <row r="38" spans="1:6" x14ac:dyDescent="0.25">
      <c r="A38" s="2" t="s">
        <v>0</v>
      </c>
      <c r="B38" s="2" t="s">
        <v>5</v>
      </c>
      <c r="C38" s="3">
        <v>2732</v>
      </c>
      <c r="D38" s="3">
        <v>2574</v>
      </c>
      <c r="E38" s="3">
        <v>2539</v>
      </c>
      <c r="F38" s="3">
        <f t="shared" si="1"/>
        <v>7845</v>
      </c>
    </row>
    <row r="39" spans="1:6" x14ac:dyDescent="0.25">
      <c r="A39" s="2" t="s">
        <v>1</v>
      </c>
      <c r="B39" s="2" t="s">
        <v>6</v>
      </c>
      <c r="C39" s="3">
        <v>4404</v>
      </c>
      <c r="D39" s="3">
        <v>2272</v>
      </c>
      <c r="E39" s="3">
        <v>4437</v>
      </c>
      <c r="F39" s="3">
        <f t="shared" si="1"/>
        <v>11113</v>
      </c>
    </row>
    <row r="40" spans="1:6" x14ac:dyDescent="0.25">
      <c r="A40" s="2" t="s">
        <v>2</v>
      </c>
      <c r="B40" s="2" t="s">
        <v>7</v>
      </c>
      <c r="C40" s="3">
        <v>1072</v>
      </c>
      <c r="D40" s="3">
        <v>3114</v>
      </c>
      <c r="E40" s="3">
        <v>2894</v>
      </c>
      <c r="F40" s="3">
        <f t="shared" si="1"/>
        <v>7080</v>
      </c>
    </row>
    <row r="41" spans="1:6" x14ac:dyDescent="0.25">
      <c r="A41" s="2" t="s">
        <v>3</v>
      </c>
      <c r="B41" s="2" t="s">
        <v>8</v>
      </c>
      <c r="C41" s="3">
        <v>1377</v>
      </c>
      <c r="D41" s="3">
        <v>3079</v>
      </c>
      <c r="E41" s="3">
        <v>4125</v>
      </c>
      <c r="F41" s="3">
        <f t="shared" si="1"/>
        <v>8581</v>
      </c>
    </row>
    <row r="42" spans="1:6" x14ac:dyDescent="0.25">
      <c r="A42" s="2" t="s">
        <v>4</v>
      </c>
      <c r="B42" s="2" t="s">
        <v>9</v>
      </c>
      <c r="C42" s="3">
        <v>4386</v>
      </c>
      <c r="D42" s="3">
        <v>4363</v>
      </c>
      <c r="E42" s="3">
        <v>4167</v>
      </c>
      <c r="F42" s="3">
        <f t="shared" si="1"/>
        <v>12916</v>
      </c>
    </row>
    <row r="43" spans="1:6" x14ac:dyDescent="0.25">
      <c r="A43" s="2" t="s">
        <v>0</v>
      </c>
      <c r="B43" s="2" t="s">
        <v>5</v>
      </c>
      <c r="C43" s="3">
        <v>3573</v>
      </c>
      <c r="D43" s="3">
        <v>4128</v>
      </c>
      <c r="E43" s="3">
        <v>1355</v>
      </c>
      <c r="F43" s="3">
        <f t="shared" si="1"/>
        <v>9056</v>
      </c>
    </row>
    <row r="44" spans="1:6" x14ac:dyDescent="0.25">
      <c r="A44" s="2" t="s">
        <v>1</v>
      </c>
      <c r="B44" s="2" t="s">
        <v>6</v>
      </c>
      <c r="C44" s="3">
        <v>1773</v>
      </c>
      <c r="D44" s="3">
        <v>3726</v>
      </c>
      <c r="E44" s="3">
        <v>1226</v>
      </c>
      <c r="F44" s="3">
        <f t="shared" si="1"/>
        <v>6725</v>
      </c>
    </row>
    <row r="45" spans="1:6" x14ac:dyDescent="0.25">
      <c r="A45" s="2" t="s">
        <v>2</v>
      </c>
      <c r="B45" s="2" t="s">
        <v>7</v>
      </c>
      <c r="C45" s="3">
        <v>2327</v>
      </c>
      <c r="D45" s="3">
        <v>3210</v>
      </c>
      <c r="E45" s="3">
        <v>3093</v>
      </c>
      <c r="F45" s="3">
        <f t="shared" si="1"/>
        <v>8630</v>
      </c>
    </row>
    <row r="46" spans="1:6" x14ac:dyDescent="0.25">
      <c r="A46" s="2" t="s">
        <v>3</v>
      </c>
      <c r="B46" s="2" t="s">
        <v>8</v>
      </c>
      <c r="C46" s="3">
        <v>2795</v>
      </c>
      <c r="D46" s="3">
        <v>3961</v>
      </c>
      <c r="E46" s="3">
        <v>3395</v>
      </c>
      <c r="F46" s="3">
        <f t="shared" si="1"/>
        <v>10151</v>
      </c>
    </row>
    <row r="47" spans="1:6" x14ac:dyDescent="0.25">
      <c r="A47" s="2" t="s">
        <v>4</v>
      </c>
      <c r="B47" s="2" t="s">
        <v>9</v>
      </c>
      <c r="C47" s="3">
        <v>1362</v>
      </c>
      <c r="D47" s="3">
        <v>1030</v>
      </c>
      <c r="E47" s="3">
        <v>4185</v>
      </c>
      <c r="F47" s="3">
        <f t="shared" si="1"/>
        <v>6577</v>
      </c>
    </row>
    <row r="48" spans="1:6" x14ac:dyDescent="0.25">
      <c r="F48">
        <f>SUM(F$22:$F26)</f>
        <v>167264</v>
      </c>
    </row>
    <row r="49" spans="1:6" x14ac:dyDescent="0.25">
      <c r="A49" s="5" t="s">
        <v>10</v>
      </c>
      <c r="B49" s="6"/>
      <c r="C49" s="6"/>
      <c r="D49" s="6"/>
      <c r="E49" s="6"/>
      <c r="F49" s="7"/>
    </row>
    <row r="50" spans="1:6" x14ac:dyDescent="0.25">
      <c r="A50" s="4" t="s">
        <v>11</v>
      </c>
      <c r="B50" s="4" t="s">
        <v>12</v>
      </c>
      <c r="C50" s="4" t="s">
        <v>13</v>
      </c>
      <c r="D50" s="4" t="s">
        <v>14</v>
      </c>
      <c r="E50" s="4" t="s">
        <v>15</v>
      </c>
      <c r="F50" s="4" t="s">
        <v>16</v>
      </c>
    </row>
    <row r="51" spans="1:6" x14ac:dyDescent="0.25">
      <c r="A51" s="2" t="s">
        <v>0</v>
      </c>
      <c r="B51" s="2" t="s">
        <v>5</v>
      </c>
      <c r="C51" s="3">
        <v>1925</v>
      </c>
      <c r="D51" s="3">
        <v>3588</v>
      </c>
      <c r="E51" s="3">
        <v>1599</v>
      </c>
      <c r="F51" s="3">
        <f>SUM(C51:E51)</f>
        <v>7112</v>
      </c>
    </row>
    <row r="52" spans="1:6" x14ac:dyDescent="0.25">
      <c r="A52" s="2" t="s">
        <v>1</v>
      </c>
      <c r="B52" s="2" t="s">
        <v>6</v>
      </c>
      <c r="C52" s="3">
        <v>2317</v>
      </c>
      <c r="D52" s="3">
        <v>1141</v>
      </c>
      <c r="E52" s="3">
        <v>2777</v>
      </c>
      <c r="F52" s="3">
        <f t="shared" ref="F52:F70" si="2">SUM(C52:E52)</f>
        <v>6235</v>
      </c>
    </row>
    <row r="53" spans="1:6" x14ac:dyDescent="0.25">
      <c r="A53" s="2" t="s">
        <v>2</v>
      </c>
      <c r="B53" s="2" t="s">
        <v>7</v>
      </c>
      <c r="C53" s="3">
        <v>1430</v>
      </c>
      <c r="D53" s="3">
        <v>4104</v>
      </c>
      <c r="E53" s="3">
        <v>3111</v>
      </c>
      <c r="F53" s="3">
        <f t="shared" si="2"/>
        <v>8645</v>
      </c>
    </row>
    <row r="54" spans="1:6" x14ac:dyDescent="0.25">
      <c r="A54" s="2" t="s">
        <v>3</v>
      </c>
      <c r="B54" s="2" t="s">
        <v>8</v>
      </c>
      <c r="C54" s="3">
        <v>1448</v>
      </c>
      <c r="D54" s="3">
        <v>3717</v>
      </c>
      <c r="E54" s="3">
        <v>3530</v>
      </c>
      <c r="F54" s="3">
        <f t="shared" si="2"/>
        <v>8695</v>
      </c>
    </row>
    <row r="55" spans="1:6" x14ac:dyDescent="0.25">
      <c r="A55" s="2" t="s">
        <v>4</v>
      </c>
      <c r="B55" s="2" t="s">
        <v>9</v>
      </c>
      <c r="C55" s="3">
        <v>1019</v>
      </c>
      <c r="D55" s="3">
        <v>1044</v>
      </c>
      <c r="E55" s="3">
        <v>3965</v>
      </c>
      <c r="F55" s="3">
        <f t="shared" si="2"/>
        <v>6028</v>
      </c>
    </row>
    <row r="56" spans="1:6" x14ac:dyDescent="0.25">
      <c r="A56" s="2" t="s">
        <v>0</v>
      </c>
      <c r="B56" s="2" t="s">
        <v>5</v>
      </c>
      <c r="C56" s="3">
        <v>4007</v>
      </c>
      <c r="D56" s="3">
        <v>2492</v>
      </c>
      <c r="E56" s="3">
        <v>3113</v>
      </c>
      <c r="F56" s="3">
        <f t="shared" si="2"/>
        <v>9612</v>
      </c>
    </row>
    <row r="57" spans="1:6" x14ac:dyDescent="0.25">
      <c r="A57" s="2" t="s">
        <v>1</v>
      </c>
      <c r="B57" s="2" t="s">
        <v>6</v>
      </c>
      <c r="C57" s="3">
        <v>2611</v>
      </c>
      <c r="D57" s="3">
        <v>3437</v>
      </c>
      <c r="E57" s="3">
        <v>1820</v>
      </c>
      <c r="F57" s="3">
        <f t="shared" si="2"/>
        <v>7868</v>
      </c>
    </row>
    <row r="58" spans="1:6" x14ac:dyDescent="0.25">
      <c r="A58" s="2" t="s">
        <v>2</v>
      </c>
      <c r="B58" s="2" t="s">
        <v>7</v>
      </c>
      <c r="C58" s="3">
        <v>1992</v>
      </c>
      <c r="D58" s="3">
        <v>2765</v>
      </c>
      <c r="E58" s="3">
        <v>4347</v>
      </c>
      <c r="F58" s="3">
        <f t="shared" si="2"/>
        <v>9104</v>
      </c>
    </row>
    <row r="59" spans="1:6" x14ac:dyDescent="0.25">
      <c r="A59" s="2" t="s">
        <v>3</v>
      </c>
      <c r="B59" s="2" t="s">
        <v>8</v>
      </c>
      <c r="C59" s="3">
        <v>3497</v>
      </c>
      <c r="D59" s="3">
        <v>2080</v>
      </c>
      <c r="E59" s="3">
        <v>3805</v>
      </c>
      <c r="F59" s="3">
        <f t="shared" si="2"/>
        <v>9382</v>
      </c>
    </row>
    <row r="60" spans="1:6" x14ac:dyDescent="0.25">
      <c r="A60" s="2" t="s">
        <v>4</v>
      </c>
      <c r="B60" s="2" t="s">
        <v>9</v>
      </c>
      <c r="C60" s="3">
        <v>2054</v>
      </c>
      <c r="D60" s="3">
        <v>1515</v>
      </c>
      <c r="E60" s="3">
        <v>2699</v>
      </c>
      <c r="F60" s="3">
        <f t="shared" si="2"/>
        <v>6268</v>
      </c>
    </row>
    <row r="61" spans="1:6" x14ac:dyDescent="0.25">
      <c r="A61" s="2" t="s">
        <v>0</v>
      </c>
      <c r="B61" s="2" t="s">
        <v>5</v>
      </c>
      <c r="C61" s="3">
        <v>2732</v>
      </c>
      <c r="D61" s="3">
        <v>2574</v>
      </c>
      <c r="E61" s="3">
        <v>2539</v>
      </c>
      <c r="F61" s="3">
        <f t="shared" si="2"/>
        <v>7845</v>
      </c>
    </row>
    <row r="62" spans="1:6" x14ac:dyDescent="0.25">
      <c r="A62" s="2" t="s">
        <v>1</v>
      </c>
      <c r="B62" s="2" t="s">
        <v>6</v>
      </c>
      <c r="C62" s="3">
        <v>4404</v>
      </c>
      <c r="D62" s="3">
        <v>2272</v>
      </c>
      <c r="E62" s="3">
        <v>4437</v>
      </c>
      <c r="F62" s="3">
        <f t="shared" si="2"/>
        <v>11113</v>
      </c>
    </row>
    <row r="63" spans="1:6" x14ac:dyDescent="0.25">
      <c r="A63" s="2" t="s">
        <v>2</v>
      </c>
      <c r="B63" s="2" t="s">
        <v>7</v>
      </c>
      <c r="C63" s="3">
        <v>1072</v>
      </c>
      <c r="D63" s="3">
        <v>3114</v>
      </c>
      <c r="E63" s="3">
        <v>2894</v>
      </c>
      <c r="F63" s="3">
        <f t="shared" si="2"/>
        <v>7080</v>
      </c>
    </row>
    <row r="64" spans="1:6" x14ac:dyDescent="0.25">
      <c r="A64" s="2" t="s">
        <v>3</v>
      </c>
      <c r="B64" s="2" t="s">
        <v>8</v>
      </c>
      <c r="C64" s="3">
        <v>1377</v>
      </c>
      <c r="D64" s="3">
        <v>3079</v>
      </c>
      <c r="E64" s="3">
        <v>4125</v>
      </c>
      <c r="F64" s="3">
        <f t="shared" si="2"/>
        <v>8581</v>
      </c>
    </row>
    <row r="65" spans="1:6" x14ac:dyDescent="0.25">
      <c r="A65" s="2" t="s">
        <v>4</v>
      </c>
      <c r="B65" s="2" t="s">
        <v>9</v>
      </c>
      <c r="C65" s="3">
        <v>4386</v>
      </c>
      <c r="D65" s="3">
        <v>4363</v>
      </c>
      <c r="E65" s="3">
        <v>4167</v>
      </c>
      <c r="F65" s="3">
        <f t="shared" si="2"/>
        <v>12916</v>
      </c>
    </row>
    <row r="66" spans="1:6" x14ac:dyDescent="0.25">
      <c r="A66" s="2" t="s">
        <v>0</v>
      </c>
      <c r="B66" s="2" t="s">
        <v>5</v>
      </c>
      <c r="C66" s="3">
        <v>3573</v>
      </c>
      <c r="D66" s="3">
        <v>4128</v>
      </c>
      <c r="E66" s="3">
        <v>1355</v>
      </c>
      <c r="F66" s="3">
        <f t="shared" si="2"/>
        <v>9056</v>
      </c>
    </row>
    <row r="67" spans="1:6" x14ac:dyDescent="0.25">
      <c r="A67" s="2" t="s">
        <v>1</v>
      </c>
      <c r="B67" s="2" t="s">
        <v>6</v>
      </c>
      <c r="C67" s="3">
        <v>1773</v>
      </c>
      <c r="D67" s="3">
        <v>3726</v>
      </c>
      <c r="E67" s="3">
        <v>1226</v>
      </c>
      <c r="F67" s="3">
        <f t="shared" si="2"/>
        <v>6725</v>
      </c>
    </row>
    <row r="68" spans="1:6" x14ac:dyDescent="0.25">
      <c r="A68" s="2" t="s">
        <v>2</v>
      </c>
      <c r="B68" s="2" t="s">
        <v>7</v>
      </c>
      <c r="C68" s="3">
        <v>2327</v>
      </c>
      <c r="D68" s="3">
        <v>3210</v>
      </c>
      <c r="E68" s="3">
        <v>3093</v>
      </c>
      <c r="F68" s="3">
        <f t="shared" si="2"/>
        <v>8630</v>
      </c>
    </row>
    <row r="69" spans="1:6" x14ac:dyDescent="0.25">
      <c r="A69" s="2" t="s">
        <v>3</v>
      </c>
      <c r="B69" s="2" t="s">
        <v>8</v>
      </c>
      <c r="C69" s="3">
        <v>2795</v>
      </c>
      <c r="D69" s="3">
        <v>3961</v>
      </c>
      <c r="E69" s="3">
        <v>3395</v>
      </c>
      <c r="F69" s="3">
        <f t="shared" si="2"/>
        <v>10151</v>
      </c>
    </row>
    <row r="70" spans="1:6" x14ac:dyDescent="0.25">
      <c r="A70" s="2" t="s">
        <v>4</v>
      </c>
      <c r="B70" s="2" t="s">
        <v>9</v>
      </c>
      <c r="C70" s="3">
        <v>1362</v>
      </c>
      <c r="D70" s="3">
        <v>1030</v>
      </c>
      <c r="E70" s="3">
        <v>4185</v>
      </c>
      <c r="F70" s="3">
        <f t="shared" si="2"/>
        <v>6577</v>
      </c>
    </row>
    <row r="71" spans="1:6" x14ac:dyDescent="0.25">
      <c r="F71">
        <f>SUM(F$22:$F49)</f>
        <v>502151</v>
      </c>
    </row>
  </sheetData>
  <mergeCells count="3">
    <mergeCell ref="A3:F3"/>
    <mergeCell ref="A26:F26"/>
    <mergeCell ref="A49:F49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Despesas - 2017</vt:lpstr>
      <vt:lpstr>Despesas - 2016</vt:lpstr>
      <vt:lpstr>Despesas - 2015</vt:lpstr>
      <vt:lpstr>Relatorio Final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Alberto Ferreira Gomes</dc:creator>
  <cp:lastModifiedBy>PUC</cp:lastModifiedBy>
  <dcterms:created xsi:type="dcterms:W3CDTF">2017-10-20T11:24:52Z</dcterms:created>
  <dcterms:modified xsi:type="dcterms:W3CDTF">2017-10-27T09:19:00Z</dcterms:modified>
</cp:coreProperties>
</file>